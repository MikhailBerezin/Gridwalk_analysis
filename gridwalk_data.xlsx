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gorc\Desktop\AdvSci_Revision\gridwalk_release\"/>
    </mc:Choice>
  </mc:AlternateContent>
  <xr:revisionPtr revIDLastSave="0" documentId="13_ncr:1_{95ECEC02-3BB3-4297-9AFF-5A2B1A2CF7A1}" xr6:coauthVersionLast="47" xr6:coauthVersionMax="47" xr10:uidLastSave="{00000000-0000-0000-0000-000000000000}"/>
  <bookViews>
    <workbookView xWindow="-25185" yWindow="-24210" windowWidth="51750" windowHeight="153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T22" i="1"/>
  <c r="U22" i="1" s="1"/>
  <c r="U14" i="1"/>
  <c r="T43" i="1"/>
  <c r="U43" i="1" s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U34" i="1"/>
  <c r="T34" i="1"/>
  <c r="U33" i="1"/>
  <c r="T33" i="1"/>
  <c r="T32" i="1"/>
  <c r="U32" i="1" s="1"/>
  <c r="U31" i="1"/>
  <c r="T31" i="1"/>
  <c r="T30" i="1"/>
  <c r="U30" i="1" s="1"/>
  <c r="T29" i="1"/>
  <c r="U29" i="1" s="1"/>
  <c r="U28" i="1"/>
  <c r="T28" i="1"/>
  <c r="T27" i="1"/>
  <c r="U27" i="1" s="1"/>
  <c r="U26" i="1"/>
  <c r="T26" i="1"/>
  <c r="U25" i="1"/>
  <c r="T25" i="1"/>
  <c r="T24" i="1"/>
  <c r="U24" i="1" s="1"/>
  <c r="U23" i="1"/>
  <c r="T23" i="1"/>
  <c r="U21" i="1"/>
  <c r="T21" i="1"/>
  <c r="U20" i="1"/>
  <c r="T20" i="1"/>
  <c r="U19" i="1"/>
  <c r="T19" i="1"/>
  <c r="U18" i="1"/>
  <c r="T18" i="1"/>
  <c r="U17" i="1"/>
  <c r="T17" i="1"/>
  <c r="T16" i="1"/>
  <c r="U16" i="1" s="1"/>
  <c r="U15" i="1"/>
  <c r="T15" i="1"/>
  <c r="T14" i="1"/>
  <c r="U13" i="1"/>
  <c r="T13" i="1"/>
  <c r="U12" i="1"/>
  <c r="T12" i="1"/>
  <c r="U11" i="1"/>
  <c r="T11" i="1"/>
  <c r="U10" i="1"/>
  <c r="T10" i="1"/>
  <c r="U9" i="1"/>
  <c r="T9" i="1"/>
  <c r="U8" i="1"/>
  <c r="U7" i="1"/>
  <c r="T7" i="1"/>
  <c r="U6" i="1"/>
  <c r="T6" i="1"/>
  <c r="U5" i="1"/>
  <c r="T5" i="1"/>
  <c r="U4" i="1"/>
  <c r="T4" i="1"/>
  <c r="U3" i="1"/>
  <c r="T3" i="1"/>
  <c r="U2" i="1"/>
  <c r="T2" i="1"/>
</calcChain>
</file>

<file path=xl/sharedStrings.xml><?xml version="1.0" encoding="utf-8"?>
<sst xmlns="http://schemas.openxmlformats.org/spreadsheetml/2006/main" count="249" uniqueCount="123">
  <si>
    <t>Mouse</t>
  </si>
  <si>
    <t>Implant date</t>
  </si>
  <si>
    <t>Foot L/R</t>
  </si>
  <si>
    <t>Gridwalk date</t>
  </si>
  <si>
    <t>Days after implant</t>
  </si>
  <si>
    <t>Analysis by/on</t>
  </si>
  <si>
    <t>Results - raw</t>
  </si>
  <si>
    <t>Results key</t>
  </si>
  <si>
    <t>provisional filtered results</t>
  </si>
  <si>
    <t>Score</t>
  </si>
  <si>
    <t>G</t>
  </si>
  <si>
    <t>M</t>
  </si>
  <si>
    <t>P</t>
  </si>
  <si>
    <t>B</t>
  </si>
  <si>
    <t>0's</t>
  </si>
  <si>
    <t>1's</t>
  </si>
  <si>
    <t>2's</t>
  </si>
  <si>
    <t>3's</t>
  </si>
  <si>
    <t>4's</t>
  </si>
  <si>
    <t>Success rate</t>
  </si>
  <si>
    <t>Missed</t>
  </si>
  <si>
    <t>BS3-M1 2024-02-24</t>
  </si>
  <si>
    <t>R</t>
  </si>
  <si>
    <t>Abby ~Mar 2024</t>
  </si>
  <si>
    <t>GGGGGGGGGGMGGGGGGGGGGGGGGGGGGGG</t>
  </si>
  <si>
    <t>G=good step
B=bad step
M=medium step</t>
  </si>
  <si>
    <t>G - 30; M - 1</t>
  </si>
  <si>
    <t>L</t>
  </si>
  <si>
    <t>GGGGGGGGGGGGGGGGGGGGGGGGGGGGGGGGGGG</t>
  </si>
  <si>
    <t>G - 35</t>
  </si>
  <si>
    <t>Ggmggggggggggggggggggggggggggggggggggggggggggggmggggggggggggggggggggmgggggggggggggggggggggggggggggggggggggggggggg</t>
  </si>
  <si>
    <t>G - 110; M - 3</t>
  </si>
  <si>
    <t>Gggggpggpggggggggggggggggggggggpgggggggggpggpgggggggggggggggggggggggggggggggggggggggggggggggggggggggggggggggggggggg</t>
  </si>
  <si>
    <t>G - 110; P - 5</t>
  </si>
  <si>
    <t>44444444444444443444434 (moves out of view 1:21) 4443444444344444444344444444444444444444444444444422444444444444444444444444434444444444444444444442434444444444434444444444443434444444444444444</t>
  </si>
  <si>
    <t>44444444444444443444434  4443444444344444444344444444444444444444444444444422444444444444444444444444434444444444444444444442434444444444434444444444443434444444444444444</t>
  </si>
  <si>
    <t>444344444344443444444 (moves out of screen 1:20) 44444444444444444444444444444444334444444444444444444443344422444444444444444444444444444443434444444444444444433444444444444444444444443444444444343444</t>
  </si>
  <si>
    <t>444344444344443444444  44444444444444444444444444444444334444444444444444444443344422444444444444444444444444444443434444444444444444433444444444444444444444443444444444343444</t>
  </si>
  <si>
    <t>Gggggggggggggggggggggggggggggggggggggggmgggggggggggggggggggggmgggggggggggggg//gggggggggggggpggggggggggggmgggggggbggggggg</t>
  </si>
  <si>
    <t>G=good step
B=bad step
M=medium step Note: Part 1//Part 2</t>
  </si>
  <si>
    <t>G - 113; M - 3; P - 1; B - 1</t>
  </si>
  <si>
    <t>Ggggggggggggggggggggggggggggggggggggggggggggggggggggggggggggggggggmgggg//ggggggggggggggggggggggggggggmmggggggggggggg</t>
  </si>
  <si>
    <t>G - 111; M - 3</t>
  </si>
  <si>
    <t>BS3-M2 2024-03-02</t>
  </si>
  <si>
    <t>Gggggbmmmmgggmgggggggggggggggggggggggggggggggggggggggggggggggggggggggggggggggggggggggggg</t>
  </si>
  <si>
    <t>G - 82; B - 1; M - 5</t>
  </si>
  <si>
    <t>gggggggggggggggppgggggggggggggggggggggggggggggggggggggggggggggggggggg</t>
  </si>
  <si>
    <t>G - 67; P - 2</t>
  </si>
  <si>
    <t>3444444344444444444344434444433444444444444 (moves out of view 2:42) 44444444444444444344443444444444444444444443444444444333444444344444444344444444444443344444444444444444434444444444444444443444444444444443444444444444444</t>
  </si>
  <si>
    <t>3444444344444444444344434444433444444444444 44444444444444444344443444444444444444444443444444444333444444344444444344444444444443344444444444444444434444444444444444443444444444444443444444444444444</t>
  </si>
  <si>
    <t>4333333444434444444443434443444444444444444444 (moves out of view 2:42) 44444444444444444344444444444444444444444444444444434334444444434444444444444444444444444444444444444444344344444443444444443444444444444444444444444444</t>
  </si>
  <si>
    <t>4333333444434444444443434443444444444444444444 44444444444444444344444444444444444444444444444444434334444444434444444444444444444444444444444444444444344344444443444444443444444444444444444444444444</t>
  </si>
  <si>
    <t>G108-3 male</t>
  </si>
  <si>
    <t>right</t>
  </si>
  <si>
    <t>Morgan</t>
  </si>
  <si>
    <t>444344444444444444443444444444444444444444443 (mouse moves out of view at 1:50)
Mouse picked up at 1:53
4444444444444444434444444444444444443
Mouse picked up at 3:21
4444444444444443344444444444444444
Mouse picked up at 4:02
4444444444444424434444 (mouse moves out of view at 4:33)
Mouse picked up at 4:35
4444434344444444444444
Mouse picked up at 6:02
44444444</t>
  </si>
  <si>
    <t>0 - missed completely
4 - found footing/gripped normally</t>
  </si>
  <si>
    <t>444344444444444444443444444444444444444444443 
4444444444444444434444444444444444443
4444444444444443344444444444444444
4444444444444424434444 
4444434344444444444444
44444444</t>
  </si>
  <si>
    <t>4434444444444444444 (moves out of screen 1:05) 44444444444444444344444444 (moves out of screen 1:47) 4444444444444443444444444444444444444444444444444244444443444444 (moves out of screen 3:55) 4444444443443444444442 (moves out of screen 4:34) 4444444444444444444444444344444444</t>
  </si>
  <si>
    <t>4434444444444444444  44444444444444444344444444  4444444444444443444444444444444444444444444444444244444443444444 4444444443443444444442  4444444444444444444444444344444444</t>
  </si>
  <si>
    <t>left</t>
  </si>
  <si>
    <t>44444444444444444 (moves out of screen 0:28) 3444444444434444444444444444 (moves out of screen 1:07) 444444444444444444444444444444444442344344444444444444344434444444444444444444444444444444443444444444444444444444444 (moves out of screen 4:03) 444444444444444444444 (moves out of screen 4:27) 4444444444444444444444444444</t>
  </si>
  <si>
    <t>44444444444444444  3444444444434444444444444444  444444444444444444444444444444444442344344444444444444344434444444444444444444444444444444443444444444444444444444444  444444444444444444444  4444444444444444444444444444</t>
  </si>
  <si>
    <t>4444444433444444444444444444443444444434 (mouse briefly moves out of view) 
Mouse picked up at 1:10 
4444443444344444444444444444444444444444444444444444444444444444444444444444444444434444
Mouse picked up at 3:52
44444444444444344444444444444444444434444444444444444444444444</t>
  </si>
  <si>
    <t>4444444433444444444444444444443444444434  
4444443444344444444444444444444444444444444444444444444444444444444444444444444444434444
44444444444444344444444444444444444434444444444444444444444444</t>
  </si>
  <si>
    <t>G109 female</t>
  </si>
  <si>
    <t>44444044444444444444
Mouse picked up at 1:27; 344444444444444244444444444443444444444444444444444444
Mouse picked up at 4:27; 44444444444444444444444444444444444444</t>
  </si>
  <si>
    <t>44444044444444444444
344444444444444244444444444443444444444444444444444444
44444444444444444444444444444444444444</t>
  </si>
  <si>
    <t>43444444444334444444444444444444444444444444444444444444444444344444444444444444444434344444444444444443444444444444 ()</t>
  </si>
  <si>
    <t>4444443444444444443
Mouse picked up at 1:02
444444444444244444444444444444444444444444444444
Mouse picked up at 3:25
4444444
Mouse picked up at 3:45
444444443444444443444444442444444444434443444444444 (mouse briefly moved out of view) 4444444
Mouse picked up at 5:35
44444</t>
  </si>
  <si>
    <t>4444443444444444443
444444444444244444444444444444444444444444444444
4444444
444444443444444443444444442444444444434443444444444  4444444
44444</t>
  </si>
  <si>
    <t>444344444444444444444444444444444444444444434444444444444444444444444444444444444444444444444444444444444444443444444434444444444444444444444 (moves out of view 5:34) 444</t>
  </si>
  <si>
    <t>444344444444444444444444444444444444444444434444444444444444444444444444444444444444444444444444444444444444443444444434444444444444444444444  444</t>
  </si>
  <si>
    <t>424444444444444444444444444444444444444444444444444444444444444444444444444444444443444344444444 (moves out of view 5:35) 4</t>
  </si>
  <si>
    <t>42444444444444444444444444444404444444444444444444444442444444444444444444444444444443444344444444  4</t>
  </si>
  <si>
    <t>444444444444444444434434444444434444444444444444444444444444444444444444444444444
Mouse picked up at 5:09
44444434 (mouse briefly moved out of view) 4</t>
  </si>
  <si>
    <t>444444444444444444434434444444434444444444444444444444444444444444444444444444444
44444434  4</t>
  </si>
  <si>
    <t>44444444344434444444433444444444433444443444444444444434334423444444444444444444444444344444444444444444444
Mouse picked up at 5:51
444444</t>
  </si>
  <si>
    <t>444444443444444444444444444444442344444444444444444444434444444444444444444444444442344444444444444444444
444444</t>
  </si>
  <si>
    <t>444444444444344344444444444444444434444444444444444424434444444444444444444444444444444444444444444442 (moves of of screen 5:50) 444444 (moves out of view 5:59)</t>
  </si>
  <si>
    <t xml:space="preserve">444444444444344344444444444444444434444444444444444424434444444444444444444444444444444444444444444442 444444 </t>
  </si>
  <si>
    <t>G110-1 female</t>
  </si>
  <si>
    <t>44444434434 (mouse moves out of view at 00:49) 44444 
Mouse picked up at 1:13; 44444444
Mouse picked up at 2:06; 434444444444444444444 
Mouse picked up at 4:12; 44444444 (mouse moves out of view at 4:30)
444444444444444444 (mouse moves out of view at 5:49) 3</t>
  </si>
  <si>
    <t>44444434434  44444 
44444444
434444444444444444444 
44444444 
444444444444444444  3</t>
  </si>
  <si>
    <t>4434444444444 (moves out of view 0:50) 444423 (moves out of view 1:10) 43444444334444444444444444444444 (moves out of view 4:09) 3244443 (moves out of view 4:31) 443444434444444 (moves out of view 5:49)</t>
  </si>
  <si>
    <t>4434444444444  44442343444444334444444444444444444444  3244443  443444434444444</t>
  </si>
  <si>
    <t>444444444444444444444444
Mouse picked up at 00:51; 44444444444
Mouse picked up at 1:42; 3444444444444444444434444444444444444444444434442443344444
Mouse picked up at 5:17; 444444404</t>
  </si>
  <si>
    <t>444444444444444444444444
44444444444
3444444444444444444434444444444444444444444434442443344444
444444404</t>
  </si>
  <si>
    <t>L: 4444444444444444444434444444444442444444434444434444444444444444444444444444344444</t>
  </si>
  <si>
    <t>. 4444444444444444444434444444444442444444434444434444444444444444444444444444344444 .</t>
  </si>
  <si>
    <t>444444444444444414
Mouse was picked up at 00:39; 443444
Mouse picked up at 00:45; 24444444444443443444424444444444444
Mouse picked up at 1:27; 33444444443444443433444444
Mouse picked up at 2:08; 43424444444444444443
Mouse picked up at 2:43; 4444444434443444444444444444444444444443
Mouse picked up at 3:48; 4344444434444444444444344
Mouse picked up at 4:41; 4434434444
Mouse picked up at 5:02; 44444444444443443444444</t>
  </si>
  <si>
    <t>444444444444444434
443444
34444444444443443444434444444444444
344444444344444343444444
43424444444444444443
4444444434443444444444444444444444444443
4344444434444444444444344
4434434444
44444444444443443444444</t>
  </si>
  <si>
    <t>443444444444444444444444444444444444444434444444444444444444444444444444444444444444444444444444444442444444444444444444444444444444444444444444444443444444444444433444 (moves out of view 4:40) 44434444444444444444434444444</t>
  </si>
  <si>
    <t>443444444444444444444444444444444444444434444444444444444444444444444444444444444444444444444444444442444444444444444444444444444444444444444444444443444444444444423444 44434444444444444444434444444</t>
  </si>
  <si>
    <t>444444444444
Mouse picked up at 00:26; 4434444444444444444444444444434444444444444444344444444444444444443444
Mouse picked up at 2:36; 4442434334443444444444444444444444443444444444344444 (mouse briefly moved out of view) 444444444444444
Mouse picked up at 4:20; 44444444444444444443</t>
  </si>
  <si>
    <t>444444444444
4434444444444444444444444444434444444444444444344444444444444444443444
4442434334443444444444444444444444443444444444344444  444444444444444
44444444444444444443</t>
  </si>
  <si>
    <t>444444444444444444444444444444444444444444444444444444444444444444444444444444444444444444444444444444444444444444444444434444444444344444444444444444 (moves out of screen 3:56) 444444444444444444444444444444444444444</t>
  </si>
  <si>
    <t>444444444444444444444444444444444444444444444444444444444444444444444444444444444444444444444444444444444444444444444444434444444444344444444444444444 444444444444444444444444444444444444444</t>
  </si>
  <si>
    <t>G110-2 female</t>
  </si>
  <si>
    <t>4444443444444444444444444444444444 (moves out of view 7:17) 44 (moves out of view 7:55) 444443434</t>
  </si>
  <si>
    <t>4444443444444444444444444444444444 44  444443434</t>
  </si>
  <si>
    <t>443444344444444344444444444244444343 (moves out of view 7:54) 44444</t>
  </si>
  <si>
    <t>443444344444444344444444444244444343  44444</t>
  </si>
  <si>
    <t>L: 334443444433443344441444443444344443243</t>
  </si>
  <si>
    <t xml:space="preserve">. 344443444434444344442444443444344444343 . </t>
  </si>
  <si>
    <t>R: 4444444444344443444444444443443444444444341</t>
  </si>
  <si>
    <t>. 4444444444344443444444444443443444444444341 .</t>
  </si>
  <si>
    <t>G110-3 female</t>
  </si>
  <si>
    <t>L: 444444444444444444344444444444344444444444444444444444444444444444444444444444444444434444444444444444444444444444444343434444444444 (moves out of view 5:11) 4444434444444444</t>
  </si>
  <si>
    <t>. 444444444444444444344444444444134444444444444444444444444444444414444444444444444444444344444444444444444444444444444443043434444444444  44444342444444444 .</t>
  </si>
  <si>
    <t>33444404444444444434444444444444444444444444444344440444444444443444443444444444444444444444444404444444444444444414444434344434443
Mouse picked up @ 5:01; 444431444
Mouse moved out of screen @ 5:11; back in sight @ 5:15; 44444444444444444</t>
  </si>
  <si>
    <t>33444404444444444434444444444444444444444444444344440444444444443444443444444444444444444444444404444444444444444414444434344434443
444431444 44444444444444444</t>
  </si>
  <si>
    <t>4343444444444444444443444444444444444434344444444444444444444444
Mouse picked up @ 2:48; 44444444444444444444444444444443344444444434434</t>
  </si>
  <si>
    <t>43444444444444444444434444444444444444444444444444444444444444
4444444444444444444444444444444344444444434434</t>
  </si>
  <si>
    <t>L: 4444444444444444444444444444444444444444344444444434444444444444444444444444434443</t>
  </si>
  <si>
    <t>. . 44444444444444444444444444444344444444444344444444434444444444444444444444444434443 /</t>
  </si>
  <si>
    <t>Thy1-GCaMP 831</t>
  </si>
  <si>
    <t>Morgan July 2024</t>
  </si>
  <si>
    <t>Foot hold after mouse is put down/4444A4444444
Mouse is put down again @ 1:04/44443444444444444434434444A444444444444444444
Mouse is put down again @ 1:55/444444444444
Mouse is put down again @ 2:08/ 4444443344444444A4444444444444444444A4344434443344A43(A/3? at 3:59)4444444444444444444444344A4444344444444344443344444A44434440
Mouse is put down again @ 5:51/ 44344A433444444444444444343A444444444444444444</t>
  </si>
  <si>
    <t xml:space="preserve">0 – missed completely
1 – made contact but didn’t keep contact/slipped
2 – N/A
3 – sort of/briefly gripped wire and then corrected grip or moved on to next (normal/good) foothold 
4 – found footing/gripped normally  </t>
  </si>
  <si>
    <t>4444A4444444
/44443444444444444434434444A444444444444444444
444444444444
 4444443344444444A4444444444444444444A4344434443344A43 4444444444444444444444344A4444344444444344443344444A4443444
44344A433444444444444444343A444444444444444444</t>
  </si>
  <si>
    <t>Foot hold after mouse is put down/ 4444344444444
Mouse is put down again @ 1:04/ 444444444444444444344443444444444444444444434
Mouse is put down again @ 1:55/ 44444444344
Mouse is put down again @ 2:08/ 4444444444A4444434444444443344444444444444444A444444434444444444444444444444444344444444444444434344443443444 (there are a couple of steps at 5:46 where the left foot isn’t visible) 
Mouse is put down again @ 5:50/ 44444443444A4444444444444444444434444444444444444444344</t>
  </si>
  <si>
    <t>4444344444444
444444444444444444344443444444444444444444434
 44444444344
4444444444A4444434444444443344444444444444444A444444434444444444444444444444444344444444444444434344443443444  44444443444A4444444444444444444434444444444444444444344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</si>
</sst>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workbookViewId="0">
      <selection activeCell="C1" sqref="C1"/>
    </sheetView>
  </sheetViews>
  <sheetFormatPr defaultRowHeight="14.5" x14ac:dyDescent="0.35"/>
  <cols>
    <col min="4" max="4" width="19.7265625" customWidth="1"/>
    <col min="14" max="14" width="10.089843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s="1">
        <v>45346</v>
      </c>
      <c r="C2" t="s">
        <v>22</v>
      </c>
      <c r="D2" s="1">
        <v>45344</v>
      </c>
      <c r="E2">
        <v>-2</v>
      </c>
      <c r="F2" t="s">
        <v>23</v>
      </c>
      <c r="G2" t="s">
        <v>24</v>
      </c>
      <c r="H2" t="s">
        <v>25</v>
      </c>
      <c r="J2" t="s">
        <v>26</v>
      </c>
      <c r="K2">
        <v>30</v>
      </c>
      <c r="L2">
        <v>1</v>
      </c>
      <c r="M2">
        <v>0</v>
      </c>
      <c r="N2">
        <v>0</v>
      </c>
      <c r="T2">
        <f>(K2+0.5*L2)/(K2+L2+M2+N2)</f>
        <v>0.9838709677419355</v>
      </c>
      <c r="U2">
        <f t="shared" ref="U2:U43" si="0">1-T2</f>
        <v>1.6129032258064502E-2</v>
      </c>
    </row>
    <row r="3" spans="1:21" x14ac:dyDescent="0.35">
      <c r="A3" t="s">
        <v>21</v>
      </c>
      <c r="B3" s="1">
        <v>45346</v>
      </c>
      <c r="C3" t="s">
        <v>27</v>
      </c>
      <c r="D3" s="1">
        <v>45344</v>
      </c>
      <c r="E3">
        <v>-2</v>
      </c>
      <c r="F3" t="s">
        <v>23</v>
      </c>
      <c r="G3" t="s">
        <v>28</v>
      </c>
      <c r="H3" t="s">
        <v>25</v>
      </c>
      <c r="J3" t="s">
        <v>29</v>
      </c>
      <c r="K3">
        <v>35</v>
      </c>
      <c r="L3">
        <v>0</v>
      </c>
      <c r="M3">
        <v>0</v>
      </c>
      <c r="N3">
        <v>0</v>
      </c>
      <c r="T3">
        <f>(K3+0.5*L3)/(K3+L3+M3+N3)</f>
        <v>1</v>
      </c>
      <c r="U3">
        <f t="shared" si="0"/>
        <v>0</v>
      </c>
    </row>
    <row r="4" spans="1:21" x14ac:dyDescent="0.35">
      <c r="A4" t="s">
        <v>21</v>
      </c>
      <c r="B4" s="1">
        <v>45346</v>
      </c>
      <c r="C4" t="s">
        <v>22</v>
      </c>
      <c r="D4" s="1">
        <v>45352</v>
      </c>
      <c r="E4">
        <v>6</v>
      </c>
      <c r="F4" t="s">
        <v>23</v>
      </c>
      <c r="G4" t="s">
        <v>30</v>
      </c>
      <c r="H4" t="s">
        <v>25</v>
      </c>
      <c r="J4" t="s">
        <v>31</v>
      </c>
      <c r="K4">
        <v>110</v>
      </c>
      <c r="L4">
        <v>3</v>
      </c>
      <c r="M4">
        <v>0</v>
      </c>
      <c r="N4">
        <v>0</v>
      </c>
      <c r="T4">
        <f>(K4+0.5*L4)/(K4+L4+M4+N4)</f>
        <v>0.98672566371681414</v>
      </c>
      <c r="U4">
        <f t="shared" si="0"/>
        <v>1.3274336283185861E-2</v>
      </c>
    </row>
    <row r="5" spans="1:21" x14ac:dyDescent="0.35">
      <c r="A5" t="s">
        <v>21</v>
      </c>
      <c r="B5" s="1">
        <v>45346</v>
      </c>
      <c r="C5" t="s">
        <v>27</v>
      </c>
      <c r="D5" s="1">
        <v>45352</v>
      </c>
      <c r="E5">
        <v>6</v>
      </c>
      <c r="F5" t="s">
        <v>23</v>
      </c>
      <c r="G5" t="s">
        <v>32</v>
      </c>
      <c r="H5" t="s">
        <v>25</v>
      </c>
      <c r="J5" t="s">
        <v>33</v>
      </c>
      <c r="K5">
        <v>110</v>
      </c>
      <c r="L5">
        <v>0</v>
      </c>
      <c r="M5">
        <v>5</v>
      </c>
      <c r="N5">
        <v>0</v>
      </c>
      <c r="T5">
        <f>(K5+0.5*L5)/(K5+L5+M5+N5)</f>
        <v>0.95652173913043481</v>
      </c>
      <c r="U5">
        <f t="shared" si="0"/>
        <v>4.3478260869565188E-2</v>
      </c>
    </row>
    <row r="6" spans="1:21" x14ac:dyDescent="0.35">
      <c r="A6" t="s">
        <v>21</v>
      </c>
      <c r="B6" s="1">
        <v>45346</v>
      </c>
      <c r="C6" t="s">
        <v>22</v>
      </c>
      <c r="D6" s="1">
        <v>45357</v>
      </c>
      <c r="E6">
        <v>11</v>
      </c>
      <c r="G6" t="s">
        <v>34</v>
      </c>
      <c r="I6" t="s">
        <v>35</v>
      </c>
      <c r="O6">
        <v>0</v>
      </c>
      <c r="P6">
        <v>0</v>
      </c>
      <c r="Q6">
        <v>3</v>
      </c>
      <c r="R6">
        <v>10</v>
      </c>
      <c r="S6">
        <v>155</v>
      </c>
      <c r="T6">
        <f>(S6+0.75*R6+0.5*Q6+0.25*P6+0*O6)/SUM(O6:S6)</f>
        <v>0.97619047619047616</v>
      </c>
      <c r="U6">
        <f t="shared" si="0"/>
        <v>2.3809523809523836E-2</v>
      </c>
    </row>
    <row r="7" spans="1:21" x14ac:dyDescent="0.35">
      <c r="A7" t="s">
        <v>21</v>
      </c>
      <c r="B7" s="1">
        <v>45346</v>
      </c>
      <c r="C7" t="s">
        <v>27</v>
      </c>
      <c r="D7" s="1">
        <v>45357</v>
      </c>
      <c r="E7">
        <v>11</v>
      </c>
      <c r="G7" t="s">
        <v>36</v>
      </c>
      <c r="I7" t="s">
        <v>37</v>
      </c>
      <c r="O7">
        <v>0</v>
      </c>
      <c r="P7">
        <v>0</v>
      </c>
      <c r="Q7">
        <v>2</v>
      </c>
      <c r="R7">
        <v>14</v>
      </c>
      <c r="S7">
        <v>157</v>
      </c>
      <c r="T7">
        <f>(S7+0.75*R7+0.5*Q7+0.25*P7+0*O7)/SUM(O7:S7)</f>
        <v>0.97398843930635837</v>
      </c>
      <c r="U7">
        <f t="shared" si="0"/>
        <v>2.6011560693641633E-2</v>
      </c>
    </row>
    <row r="8" spans="1:21" x14ac:dyDescent="0.35">
      <c r="A8" t="s">
        <v>21</v>
      </c>
      <c r="B8" s="1">
        <v>45346</v>
      </c>
      <c r="C8" t="s">
        <v>22</v>
      </c>
      <c r="D8" s="1">
        <v>45372</v>
      </c>
      <c r="E8">
        <v>26</v>
      </c>
      <c r="F8" t="s">
        <v>23</v>
      </c>
      <c r="G8" t="s">
        <v>38</v>
      </c>
      <c r="H8" t="s">
        <v>39</v>
      </c>
      <c r="J8" t="s">
        <v>40</v>
      </c>
      <c r="K8">
        <v>115</v>
      </c>
      <c r="L8">
        <v>3</v>
      </c>
      <c r="M8">
        <v>0</v>
      </c>
      <c r="T8">
        <f>(K8+0.5*L8)/(K8+L8+M8+N8)</f>
        <v>0.98728813559322037</v>
      </c>
      <c r="U8">
        <f t="shared" si="0"/>
        <v>1.2711864406779627E-2</v>
      </c>
    </row>
    <row r="9" spans="1:21" x14ac:dyDescent="0.35">
      <c r="A9" t="s">
        <v>21</v>
      </c>
      <c r="B9" s="1">
        <v>45346</v>
      </c>
      <c r="C9" t="s">
        <v>27</v>
      </c>
      <c r="D9" s="1">
        <v>45372</v>
      </c>
      <c r="E9">
        <v>26</v>
      </c>
      <c r="F9" t="s">
        <v>23</v>
      </c>
      <c r="G9" t="s">
        <v>41</v>
      </c>
      <c r="H9" t="s">
        <v>39</v>
      </c>
      <c r="J9" t="s">
        <v>42</v>
      </c>
      <c r="K9">
        <v>112</v>
      </c>
      <c r="L9">
        <v>3</v>
      </c>
      <c r="M9">
        <v>1</v>
      </c>
      <c r="N9">
        <v>0</v>
      </c>
      <c r="T9">
        <f>(K9+0.5*L9)/(K9+L9+M9+N9)</f>
        <v>0.97844827586206895</v>
      </c>
      <c r="U9">
        <f t="shared" si="0"/>
        <v>2.155172413793105E-2</v>
      </c>
    </row>
    <row r="10" spans="1:21" x14ac:dyDescent="0.35">
      <c r="A10" t="s">
        <v>43</v>
      </c>
      <c r="B10" s="1">
        <v>45353</v>
      </c>
      <c r="C10" t="s">
        <v>22</v>
      </c>
      <c r="D10" s="1">
        <v>45352</v>
      </c>
      <c r="E10">
        <v>-1</v>
      </c>
      <c r="F10" t="s">
        <v>23</v>
      </c>
      <c r="G10" t="s">
        <v>44</v>
      </c>
      <c r="H10" t="s">
        <v>25</v>
      </c>
      <c r="J10" t="s">
        <v>45</v>
      </c>
      <c r="K10">
        <v>82</v>
      </c>
      <c r="L10">
        <v>5</v>
      </c>
      <c r="M10">
        <v>0</v>
      </c>
      <c r="N10">
        <v>1</v>
      </c>
      <c r="T10">
        <f>(K10+0.5*L10)/(K10+L10+M10+N10)</f>
        <v>0.96022727272727271</v>
      </c>
      <c r="U10">
        <f t="shared" si="0"/>
        <v>3.9772727272727293E-2</v>
      </c>
    </row>
    <row r="11" spans="1:21" x14ac:dyDescent="0.35">
      <c r="A11" t="s">
        <v>43</v>
      </c>
      <c r="B11" s="1">
        <v>45353</v>
      </c>
      <c r="C11" t="s">
        <v>27</v>
      </c>
      <c r="D11" s="1">
        <v>45352</v>
      </c>
      <c r="E11">
        <v>-1</v>
      </c>
      <c r="F11" t="s">
        <v>23</v>
      </c>
      <c r="G11" t="s">
        <v>46</v>
      </c>
      <c r="H11" t="s">
        <v>25</v>
      </c>
      <c r="J11" t="s">
        <v>47</v>
      </c>
      <c r="K11">
        <v>67</v>
      </c>
      <c r="L11">
        <v>0</v>
      </c>
      <c r="M11">
        <v>2</v>
      </c>
      <c r="N11">
        <v>0</v>
      </c>
      <c r="T11">
        <f>(K11+0.5*L11)/(K11+L11+M11+N11)</f>
        <v>0.97101449275362317</v>
      </c>
      <c r="U11">
        <f t="shared" si="0"/>
        <v>2.8985507246376829E-2</v>
      </c>
    </row>
    <row r="12" spans="1:21" x14ac:dyDescent="0.35">
      <c r="A12" t="s">
        <v>43</v>
      </c>
      <c r="B12" s="1">
        <v>45353</v>
      </c>
      <c r="C12" t="s">
        <v>22</v>
      </c>
      <c r="D12" s="1">
        <v>45357</v>
      </c>
      <c r="E12">
        <v>4</v>
      </c>
      <c r="G12" t="s">
        <v>48</v>
      </c>
      <c r="I12" t="s">
        <v>49</v>
      </c>
      <c r="O12">
        <v>0</v>
      </c>
      <c r="P12">
        <v>0</v>
      </c>
      <c r="Q12">
        <v>0</v>
      </c>
      <c r="R12">
        <v>19</v>
      </c>
      <c r="S12">
        <v>179</v>
      </c>
      <c r="T12">
        <f t="shared" ref="T12:T43" si="1">(S12+0.75*R12+0.5*Q12+0.25*P12+0*O12)/SUM(O12:S12)</f>
        <v>0.97601010101010099</v>
      </c>
      <c r="U12">
        <f t="shared" si="0"/>
        <v>2.3989898989899006E-2</v>
      </c>
    </row>
    <row r="13" spans="1:21" x14ac:dyDescent="0.35">
      <c r="A13" t="s">
        <v>43</v>
      </c>
      <c r="B13" s="1">
        <v>45353</v>
      </c>
      <c r="C13" t="s">
        <v>27</v>
      </c>
      <c r="D13" s="1">
        <v>45357</v>
      </c>
      <c r="E13">
        <v>4</v>
      </c>
      <c r="G13" t="s">
        <v>50</v>
      </c>
      <c r="I13" t="s">
        <v>51</v>
      </c>
      <c r="O13">
        <v>0</v>
      </c>
      <c r="P13">
        <v>0</v>
      </c>
      <c r="Q13">
        <v>0</v>
      </c>
      <c r="R13">
        <v>19</v>
      </c>
      <c r="S13">
        <v>179</v>
      </c>
      <c r="T13">
        <f t="shared" si="1"/>
        <v>0.97601010101010099</v>
      </c>
      <c r="U13">
        <f t="shared" si="0"/>
        <v>2.3989898989899006E-2</v>
      </c>
    </row>
    <row r="14" spans="1:21" x14ac:dyDescent="0.35">
      <c r="A14" t="s">
        <v>52</v>
      </c>
      <c r="B14" s="1">
        <v>45510</v>
      </c>
      <c r="C14" t="s">
        <v>53</v>
      </c>
      <c r="D14" s="1">
        <v>45519</v>
      </c>
      <c r="E14">
        <v>9</v>
      </c>
      <c r="F14" t="s">
        <v>54</v>
      </c>
      <c r="G14" t="s">
        <v>55</v>
      </c>
      <c r="H14" t="s">
        <v>56</v>
      </c>
      <c r="I14" t="s">
        <v>57</v>
      </c>
      <c r="O14">
        <v>0</v>
      </c>
      <c r="P14">
        <v>0</v>
      </c>
      <c r="Q14">
        <v>1</v>
      </c>
      <c r="R14">
        <v>10</v>
      </c>
      <c r="S14">
        <v>157</v>
      </c>
      <c r="T14">
        <f t="shared" si="1"/>
        <v>0.9821428571428571</v>
      </c>
      <c r="U14">
        <f>1-T14</f>
        <v>1.7857142857142905E-2</v>
      </c>
    </row>
    <row r="15" spans="1:21" x14ac:dyDescent="0.35">
      <c r="A15" t="s">
        <v>52</v>
      </c>
      <c r="B15" s="1">
        <v>45510</v>
      </c>
      <c r="C15" t="s">
        <v>27</v>
      </c>
      <c r="D15" s="1">
        <v>45519</v>
      </c>
      <c r="E15">
        <v>9</v>
      </c>
      <c r="F15" t="s">
        <v>54</v>
      </c>
      <c r="G15" t="s">
        <v>58</v>
      </c>
      <c r="I15" t="s">
        <v>59</v>
      </c>
      <c r="O15">
        <v>0</v>
      </c>
      <c r="P15">
        <v>0</v>
      </c>
      <c r="Q15">
        <v>2</v>
      </c>
      <c r="R15">
        <v>7</v>
      </c>
      <c r="S15">
        <v>156</v>
      </c>
      <c r="T15">
        <f t="shared" si="1"/>
        <v>0.98333333333333328</v>
      </c>
      <c r="U15">
        <f t="shared" si="0"/>
        <v>1.6666666666666718E-2</v>
      </c>
    </row>
    <row r="16" spans="1:21" x14ac:dyDescent="0.35">
      <c r="A16" t="s">
        <v>52</v>
      </c>
      <c r="B16" s="1">
        <v>45510</v>
      </c>
      <c r="C16" t="s">
        <v>60</v>
      </c>
      <c r="D16" s="1">
        <v>45533</v>
      </c>
      <c r="E16">
        <v>23</v>
      </c>
      <c r="F16" t="s">
        <v>54</v>
      </c>
      <c r="G16" t="s">
        <v>61</v>
      </c>
      <c r="I16" t="s">
        <v>62</v>
      </c>
      <c r="O16">
        <v>0</v>
      </c>
      <c r="P16">
        <v>0</v>
      </c>
      <c r="Q16">
        <v>1</v>
      </c>
      <c r="R16">
        <v>7</v>
      </c>
      <c r="S16">
        <v>203</v>
      </c>
      <c r="T16">
        <f t="shared" si="1"/>
        <v>0.98933649289099523</v>
      </c>
      <c r="U16">
        <f t="shared" si="0"/>
        <v>1.0663507109004766E-2</v>
      </c>
    </row>
    <row r="17" spans="1:21" x14ac:dyDescent="0.35">
      <c r="A17" t="s">
        <v>52</v>
      </c>
      <c r="B17" s="1">
        <v>45510</v>
      </c>
      <c r="C17" t="s">
        <v>53</v>
      </c>
      <c r="D17" s="1">
        <v>45533</v>
      </c>
      <c r="E17">
        <v>23</v>
      </c>
      <c r="F17" t="s">
        <v>54</v>
      </c>
      <c r="G17" t="s">
        <v>63</v>
      </c>
      <c r="H17" t="s">
        <v>56</v>
      </c>
      <c r="I17" t="s">
        <v>64</v>
      </c>
      <c r="O17">
        <v>0</v>
      </c>
      <c r="P17">
        <v>0</v>
      </c>
      <c r="Q17">
        <v>0</v>
      </c>
      <c r="R17">
        <v>9</v>
      </c>
      <c r="S17">
        <v>181</v>
      </c>
      <c r="T17">
        <f t="shared" si="1"/>
        <v>0.98815789473684212</v>
      </c>
      <c r="U17">
        <f t="shared" si="0"/>
        <v>1.1842105263157876E-2</v>
      </c>
    </row>
    <row r="18" spans="1:21" x14ac:dyDescent="0.35">
      <c r="A18" t="s">
        <v>65</v>
      </c>
      <c r="B18" s="1">
        <v>45508</v>
      </c>
      <c r="C18" t="s">
        <v>53</v>
      </c>
      <c r="D18" s="1">
        <v>45513</v>
      </c>
      <c r="E18">
        <v>5</v>
      </c>
      <c r="F18" t="s">
        <v>54</v>
      </c>
      <c r="G18" t="s">
        <v>66</v>
      </c>
      <c r="H18" t="s">
        <v>56</v>
      </c>
      <c r="I18" t="s">
        <v>67</v>
      </c>
      <c r="O18">
        <v>1</v>
      </c>
      <c r="P18">
        <v>0</v>
      </c>
      <c r="Q18">
        <v>1</v>
      </c>
      <c r="R18">
        <v>2</v>
      </c>
      <c r="S18">
        <v>108</v>
      </c>
      <c r="T18">
        <f t="shared" si="1"/>
        <v>0.9821428571428571</v>
      </c>
      <c r="U18">
        <f t="shared" si="0"/>
        <v>1.7857142857142905E-2</v>
      </c>
    </row>
    <row r="19" spans="1:21" x14ac:dyDescent="0.35">
      <c r="A19" t="s">
        <v>65</v>
      </c>
      <c r="B19" s="1">
        <v>45508</v>
      </c>
      <c r="C19" t="s">
        <v>60</v>
      </c>
      <c r="D19" s="1">
        <v>45513</v>
      </c>
      <c r="E19">
        <v>5</v>
      </c>
      <c r="F19" t="s">
        <v>54</v>
      </c>
      <c r="G19" t="s">
        <v>68</v>
      </c>
      <c r="I19" t="s">
        <v>68</v>
      </c>
      <c r="O19">
        <v>0</v>
      </c>
      <c r="P19">
        <v>0</v>
      </c>
      <c r="Q19">
        <v>0</v>
      </c>
      <c r="R19">
        <v>7</v>
      </c>
      <c r="S19">
        <v>109</v>
      </c>
      <c r="T19">
        <f t="shared" si="1"/>
        <v>0.98491379310344829</v>
      </c>
      <c r="U19">
        <f t="shared" si="0"/>
        <v>1.5086206896551713E-2</v>
      </c>
    </row>
    <row r="20" spans="1:21" x14ac:dyDescent="0.35">
      <c r="A20" t="s">
        <v>65</v>
      </c>
      <c r="B20" s="1">
        <v>45508</v>
      </c>
      <c r="C20" t="s">
        <v>53</v>
      </c>
      <c r="D20" s="1">
        <v>45519</v>
      </c>
      <c r="E20">
        <v>11</v>
      </c>
      <c r="F20" t="s">
        <v>54</v>
      </c>
      <c r="G20" t="s">
        <v>69</v>
      </c>
      <c r="H20" t="s">
        <v>56</v>
      </c>
      <c r="I20" t="s">
        <v>70</v>
      </c>
      <c r="O20">
        <v>0</v>
      </c>
      <c r="P20">
        <v>0</v>
      </c>
      <c r="Q20">
        <v>2</v>
      </c>
      <c r="R20">
        <v>6</v>
      </c>
      <c r="S20">
        <v>129</v>
      </c>
      <c r="T20">
        <f t="shared" si="1"/>
        <v>0.98175182481751821</v>
      </c>
      <c r="U20">
        <f t="shared" si="0"/>
        <v>1.8248175182481785E-2</v>
      </c>
    </row>
    <row r="21" spans="1:21" x14ac:dyDescent="0.35">
      <c r="A21" t="s">
        <v>65</v>
      </c>
      <c r="B21" s="1">
        <v>45508</v>
      </c>
      <c r="C21" t="s">
        <v>27</v>
      </c>
      <c r="D21" s="1">
        <v>45519</v>
      </c>
      <c r="E21">
        <v>11</v>
      </c>
      <c r="F21" t="s">
        <v>54</v>
      </c>
      <c r="G21" t="s">
        <v>71</v>
      </c>
      <c r="I21" t="s">
        <v>72</v>
      </c>
      <c r="O21">
        <v>0</v>
      </c>
      <c r="P21">
        <v>0</v>
      </c>
      <c r="Q21">
        <v>0</v>
      </c>
      <c r="R21">
        <v>4</v>
      </c>
      <c r="S21">
        <v>140</v>
      </c>
      <c r="T21">
        <f t="shared" si="1"/>
        <v>0.99305555555555558</v>
      </c>
      <c r="U21">
        <f t="shared" si="0"/>
        <v>6.9444444444444198E-3</v>
      </c>
    </row>
    <row r="22" spans="1:21" x14ac:dyDescent="0.35">
      <c r="A22" t="s">
        <v>65</v>
      </c>
      <c r="B22" s="1">
        <v>45508</v>
      </c>
      <c r="C22" t="s">
        <v>60</v>
      </c>
      <c r="D22" s="1">
        <v>45533</v>
      </c>
      <c r="E22">
        <v>25</v>
      </c>
      <c r="F22" t="s">
        <v>54</v>
      </c>
      <c r="G22" t="s">
        <v>73</v>
      </c>
      <c r="I22" t="s">
        <v>74</v>
      </c>
      <c r="O22">
        <v>1</v>
      </c>
      <c r="P22">
        <v>0</v>
      </c>
      <c r="Q22">
        <v>2</v>
      </c>
      <c r="R22">
        <v>2</v>
      </c>
      <c r="S22">
        <v>94</v>
      </c>
      <c r="T22">
        <f>(S22+0.75*R22+0.5*Q22+0.25*P22+0*O22)/SUM(O22:S22)</f>
        <v>0.9747474747474747</v>
      </c>
      <c r="U22">
        <f t="shared" si="0"/>
        <v>2.5252525252525304E-2</v>
      </c>
    </row>
    <row r="23" spans="1:21" x14ac:dyDescent="0.35">
      <c r="A23" t="s">
        <v>65</v>
      </c>
      <c r="B23" s="1">
        <v>45508</v>
      </c>
      <c r="C23" t="s">
        <v>53</v>
      </c>
      <c r="D23" s="1">
        <v>45533</v>
      </c>
      <c r="E23">
        <v>25</v>
      </c>
      <c r="F23" t="s">
        <v>54</v>
      </c>
      <c r="G23" t="s">
        <v>75</v>
      </c>
      <c r="H23" t="s">
        <v>56</v>
      </c>
      <c r="I23" t="s">
        <v>76</v>
      </c>
      <c r="O23">
        <v>0</v>
      </c>
      <c r="P23">
        <v>0</v>
      </c>
      <c r="Q23">
        <v>0</v>
      </c>
      <c r="R23">
        <v>4</v>
      </c>
      <c r="S23">
        <v>86</v>
      </c>
      <c r="T23">
        <f t="shared" si="1"/>
        <v>0.98888888888888893</v>
      </c>
      <c r="U23">
        <f t="shared" si="0"/>
        <v>1.1111111111111072E-2</v>
      </c>
    </row>
    <row r="24" spans="1:21" x14ac:dyDescent="0.35">
      <c r="A24" t="s">
        <v>65</v>
      </c>
      <c r="B24" s="1">
        <v>45508</v>
      </c>
      <c r="C24" t="s">
        <v>53</v>
      </c>
      <c r="D24" s="1">
        <v>45540</v>
      </c>
      <c r="E24">
        <v>32</v>
      </c>
      <c r="F24" t="s">
        <v>54</v>
      </c>
      <c r="G24" t="s">
        <v>77</v>
      </c>
      <c r="H24" t="s">
        <v>56</v>
      </c>
      <c r="I24" t="s">
        <v>78</v>
      </c>
      <c r="O24">
        <v>0</v>
      </c>
      <c r="P24">
        <v>0</v>
      </c>
      <c r="Q24">
        <v>2</v>
      </c>
      <c r="R24">
        <v>4</v>
      </c>
      <c r="S24">
        <v>105</v>
      </c>
      <c r="T24">
        <f t="shared" si="1"/>
        <v>0.98198198198198194</v>
      </c>
      <c r="U24">
        <f t="shared" si="0"/>
        <v>1.8018018018018056E-2</v>
      </c>
    </row>
    <row r="25" spans="1:21" x14ac:dyDescent="0.35">
      <c r="A25" t="s">
        <v>65</v>
      </c>
      <c r="B25" s="1">
        <v>45508</v>
      </c>
      <c r="C25" t="s">
        <v>60</v>
      </c>
      <c r="D25" s="1">
        <v>45540</v>
      </c>
      <c r="E25">
        <v>32</v>
      </c>
      <c r="F25" t="s">
        <v>54</v>
      </c>
      <c r="G25" t="s">
        <v>79</v>
      </c>
      <c r="I25" t="s">
        <v>80</v>
      </c>
      <c r="O25">
        <v>0</v>
      </c>
      <c r="P25">
        <v>0</v>
      </c>
      <c r="Q25">
        <v>2</v>
      </c>
      <c r="R25">
        <v>4</v>
      </c>
      <c r="S25">
        <v>102</v>
      </c>
      <c r="T25">
        <f t="shared" si="1"/>
        <v>0.98148148148148151</v>
      </c>
      <c r="U25">
        <f t="shared" si="0"/>
        <v>1.851851851851849E-2</v>
      </c>
    </row>
    <row r="26" spans="1:21" x14ac:dyDescent="0.35">
      <c r="A26" t="s">
        <v>81</v>
      </c>
      <c r="B26" s="1">
        <v>45505</v>
      </c>
      <c r="C26" t="s">
        <v>53</v>
      </c>
      <c r="D26" s="1">
        <v>45505</v>
      </c>
      <c r="E26">
        <v>0</v>
      </c>
      <c r="F26" t="s">
        <v>54</v>
      </c>
      <c r="G26" t="s">
        <v>82</v>
      </c>
      <c r="H26" t="s">
        <v>56</v>
      </c>
      <c r="I26" t="s">
        <v>83</v>
      </c>
      <c r="O26">
        <v>0</v>
      </c>
      <c r="P26">
        <v>0</v>
      </c>
      <c r="Q26">
        <v>0</v>
      </c>
      <c r="R26">
        <v>4</v>
      </c>
      <c r="S26">
        <v>68</v>
      </c>
      <c r="T26">
        <f t="shared" si="1"/>
        <v>0.98611111111111116</v>
      </c>
      <c r="U26">
        <f t="shared" si="0"/>
        <v>1.388888888888884E-2</v>
      </c>
    </row>
    <row r="27" spans="1:21" x14ac:dyDescent="0.35">
      <c r="A27" t="s">
        <v>81</v>
      </c>
      <c r="B27" s="1">
        <v>45505</v>
      </c>
      <c r="C27" t="s">
        <v>60</v>
      </c>
      <c r="D27" s="1">
        <v>45505</v>
      </c>
      <c r="E27">
        <v>0</v>
      </c>
      <c r="F27" t="s">
        <v>54</v>
      </c>
      <c r="G27" t="s">
        <v>84</v>
      </c>
      <c r="I27" t="s">
        <v>85</v>
      </c>
      <c r="O27">
        <v>0</v>
      </c>
      <c r="P27">
        <v>0</v>
      </c>
      <c r="Q27">
        <v>2</v>
      </c>
      <c r="R27">
        <v>9</v>
      </c>
      <c r="S27">
        <v>62</v>
      </c>
      <c r="T27">
        <f t="shared" si="1"/>
        <v>0.95547945205479456</v>
      </c>
      <c r="U27">
        <f t="shared" si="0"/>
        <v>4.4520547945205435E-2</v>
      </c>
    </row>
    <row r="28" spans="1:21" x14ac:dyDescent="0.35">
      <c r="A28" t="s">
        <v>81</v>
      </c>
      <c r="B28" s="1">
        <v>45505</v>
      </c>
      <c r="C28" t="s">
        <v>53</v>
      </c>
      <c r="D28" s="1">
        <v>45513</v>
      </c>
      <c r="E28">
        <v>8</v>
      </c>
      <c r="F28" t="s">
        <v>54</v>
      </c>
      <c r="G28" t="s">
        <v>86</v>
      </c>
      <c r="H28" t="s">
        <v>56</v>
      </c>
      <c r="I28" t="s">
        <v>87</v>
      </c>
      <c r="O28">
        <v>1</v>
      </c>
      <c r="P28">
        <v>0</v>
      </c>
      <c r="Q28">
        <v>1</v>
      </c>
      <c r="R28">
        <v>5</v>
      </c>
      <c r="S28">
        <v>95</v>
      </c>
      <c r="T28">
        <f t="shared" si="1"/>
        <v>0.97303921568627449</v>
      </c>
      <c r="U28">
        <f t="shared" si="0"/>
        <v>2.6960784313725505E-2</v>
      </c>
    </row>
    <row r="29" spans="1:21" x14ac:dyDescent="0.35">
      <c r="A29" t="s">
        <v>81</v>
      </c>
      <c r="B29" s="1">
        <v>45505</v>
      </c>
      <c r="C29" t="s">
        <v>60</v>
      </c>
      <c r="D29" s="1">
        <v>45513</v>
      </c>
      <c r="E29">
        <v>8</v>
      </c>
      <c r="F29" t="s">
        <v>54</v>
      </c>
      <c r="G29" t="s">
        <v>88</v>
      </c>
      <c r="I29" t="s">
        <v>89</v>
      </c>
      <c r="O29">
        <v>0</v>
      </c>
      <c r="P29">
        <v>0</v>
      </c>
      <c r="Q29">
        <v>1</v>
      </c>
      <c r="R29">
        <v>4</v>
      </c>
      <c r="S29">
        <v>77</v>
      </c>
      <c r="T29">
        <f t="shared" si="1"/>
        <v>0.98170731707317072</v>
      </c>
      <c r="U29">
        <f t="shared" si="0"/>
        <v>1.8292682926829285E-2</v>
      </c>
    </row>
    <row r="30" spans="1:21" x14ac:dyDescent="0.35">
      <c r="A30" t="s">
        <v>81</v>
      </c>
      <c r="B30" s="1">
        <v>45505</v>
      </c>
      <c r="C30" t="s">
        <v>53</v>
      </c>
      <c r="D30" s="1">
        <v>45519</v>
      </c>
      <c r="E30">
        <v>14</v>
      </c>
      <c r="F30" t="s">
        <v>54</v>
      </c>
      <c r="G30" t="s">
        <v>90</v>
      </c>
      <c r="H30" t="s">
        <v>56</v>
      </c>
      <c r="I30" t="s">
        <v>91</v>
      </c>
      <c r="O30">
        <v>0</v>
      </c>
      <c r="P30">
        <v>0</v>
      </c>
      <c r="Q30">
        <v>1</v>
      </c>
      <c r="R30">
        <v>22</v>
      </c>
      <c r="S30">
        <v>178</v>
      </c>
      <c r="T30">
        <f t="shared" si="1"/>
        <v>0.97014925373134331</v>
      </c>
      <c r="U30">
        <f t="shared" si="0"/>
        <v>2.9850746268656692E-2</v>
      </c>
    </row>
    <row r="31" spans="1:21" x14ac:dyDescent="0.35">
      <c r="A31" t="s">
        <v>81</v>
      </c>
      <c r="B31" s="1">
        <v>45505</v>
      </c>
      <c r="C31" t="s">
        <v>60</v>
      </c>
      <c r="D31" s="1">
        <v>45519</v>
      </c>
      <c r="E31">
        <v>14</v>
      </c>
      <c r="F31" t="s">
        <v>54</v>
      </c>
      <c r="G31" t="s">
        <v>92</v>
      </c>
      <c r="I31" t="s">
        <v>93</v>
      </c>
      <c r="O31">
        <v>0</v>
      </c>
      <c r="P31">
        <v>0</v>
      </c>
      <c r="Q31">
        <v>2</v>
      </c>
      <c r="R31">
        <v>6</v>
      </c>
      <c r="S31">
        <v>189</v>
      </c>
      <c r="T31">
        <f t="shared" si="1"/>
        <v>0.98730964467005078</v>
      </c>
      <c r="U31">
        <f t="shared" si="0"/>
        <v>1.2690355329949221E-2</v>
      </c>
    </row>
    <row r="32" spans="1:21" x14ac:dyDescent="0.35">
      <c r="A32" t="s">
        <v>81</v>
      </c>
      <c r="B32" s="1">
        <v>45505</v>
      </c>
      <c r="C32" t="s">
        <v>53</v>
      </c>
      <c r="D32" s="1">
        <v>45533</v>
      </c>
      <c r="E32">
        <v>28</v>
      </c>
      <c r="F32" t="s">
        <v>54</v>
      </c>
      <c r="G32" t="s">
        <v>94</v>
      </c>
      <c r="H32" t="s">
        <v>56</v>
      </c>
      <c r="I32" t="s">
        <v>95</v>
      </c>
      <c r="O32">
        <v>0</v>
      </c>
      <c r="P32">
        <v>0</v>
      </c>
      <c r="Q32">
        <v>1</v>
      </c>
      <c r="R32">
        <v>11</v>
      </c>
      <c r="S32">
        <v>157</v>
      </c>
      <c r="T32">
        <f t="shared" si="1"/>
        <v>0.98076923076923073</v>
      </c>
      <c r="U32">
        <f t="shared" si="0"/>
        <v>1.9230769230769273E-2</v>
      </c>
    </row>
    <row r="33" spans="1:21" x14ac:dyDescent="0.35">
      <c r="A33" t="s">
        <v>81</v>
      </c>
      <c r="B33" s="1">
        <v>45505</v>
      </c>
      <c r="C33" t="s">
        <v>60</v>
      </c>
      <c r="D33" s="1">
        <v>45533</v>
      </c>
      <c r="E33">
        <v>28</v>
      </c>
      <c r="F33" t="s">
        <v>54</v>
      </c>
      <c r="G33" t="s">
        <v>96</v>
      </c>
      <c r="I33" t="s">
        <v>97</v>
      </c>
      <c r="O33">
        <v>0</v>
      </c>
      <c r="P33">
        <v>0</v>
      </c>
      <c r="Q33">
        <v>0</v>
      </c>
      <c r="R33">
        <v>2</v>
      </c>
      <c r="S33">
        <v>187</v>
      </c>
      <c r="T33">
        <f t="shared" si="1"/>
        <v>0.99735449735449733</v>
      </c>
      <c r="U33">
        <f t="shared" si="0"/>
        <v>2.6455026455026731E-3</v>
      </c>
    </row>
    <row r="34" spans="1:21" x14ac:dyDescent="0.35">
      <c r="A34" t="s">
        <v>98</v>
      </c>
      <c r="B34" s="1">
        <v>45510</v>
      </c>
      <c r="C34" t="s">
        <v>53</v>
      </c>
      <c r="D34" s="1">
        <v>45505</v>
      </c>
      <c r="E34">
        <v>-5</v>
      </c>
      <c r="F34" t="s">
        <v>54</v>
      </c>
      <c r="G34" t="s">
        <v>99</v>
      </c>
      <c r="I34" t="s">
        <v>100</v>
      </c>
      <c r="O34">
        <v>0</v>
      </c>
      <c r="P34">
        <v>0</v>
      </c>
      <c r="Q34">
        <v>0</v>
      </c>
      <c r="R34">
        <v>3</v>
      </c>
      <c r="S34">
        <v>42</v>
      </c>
      <c r="T34">
        <f t="shared" si="1"/>
        <v>0.98333333333333328</v>
      </c>
      <c r="U34">
        <f t="shared" si="0"/>
        <v>1.6666666666666718E-2</v>
      </c>
    </row>
    <row r="35" spans="1:21" x14ac:dyDescent="0.35">
      <c r="A35" t="s">
        <v>98</v>
      </c>
      <c r="B35" s="1">
        <v>45510</v>
      </c>
      <c r="C35" t="s">
        <v>27</v>
      </c>
      <c r="D35" s="1">
        <v>45505</v>
      </c>
      <c r="E35">
        <v>-5</v>
      </c>
      <c r="F35" t="s">
        <v>54</v>
      </c>
      <c r="G35" t="s">
        <v>101</v>
      </c>
      <c r="I35" t="s">
        <v>102</v>
      </c>
      <c r="O35">
        <v>0</v>
      </c>
      <c r="P35">
        <v>0</v>
      </c>
      <c r="Q35">
        <v>1</v>
      </c>
      <c r="R35">
        <v>5</v>
      </c>
      <c r="S35">
        <v>35</v>
      </c>
      <c r="T35">
        <f t="shared" si="1"/>
        <v>0.95731707317073167</v>
      </c>
      <c r="U35">
        <f t="shared" si="0"/>
        <v>4.2682926829268331E-2</v>
      </c>
    </row>
    <row r="36" spans="1:21" x14ac:dyDescent="0.35">
      <c r="A36" t="s">
        <v>98</v>
      </c>
      <c r="B36" s="1">
        <v>45510</v>
      </c>
      <c r="C36" t="s">
        <v>27</v>
      </c>
      <c r="D36" s="1">
        <v>45513</v>
      </c>
      <c r="E36">
        <v>3</v>
      </c>
      <c r="F36" t="s">
        <v>54</v>
      </c>
      <c r="G36" t="s">
        <v>103</v>
      </c>
      <c r="I36" t="s">
        <v>104</v>
      </c>
      <c r="O36">
        <v>0</v>
      </c>
      <c r="P36">
        <v>0</v>
      </c>
      <c r="Q36">
        <v>1</v>
      </c>
      <c r="R36">
        <v>8</v>
      </c>
      <c r="S36">
        <v>30</v>
      </c>
      <c r="T36">
        <f t="shared" si="1"/>
        <v>0.9358974358974359</v>
      </c>
      <c r="U36">
        <f t="shared" si="0"/>
        <v>6.4102564102564097E-2</v>
      </c>
    </row>
    <row r="37" spans="1:21" x14ac:dyDescent="0.35">
      <c r="A37" t="s">
        <v>98</v>
      </c>
      <c r="B37" s="1">
        <v>45510</v>
      </c>
      <c r="C37" t="s">
        <v>22</v>
      </c>
      <c r="D37" s="1">
        <v>45513</v>
      </c>
      <c r="E37">
        <v>3</v>
      </c>
      <c r="F37" t="s">
        <v>54</v>
      </c>
      <c r="G37" t="s">
        <v>105</v>
      </c>
      <c r="I37" t="s">
        <v>106</v>
      </c>
      <c r="O37">
        <v>0</v>
      </c>
      <c r="P37">
        <v>1</v>
      </c>
      <c r="Q37">
        <v>0</v>
      </c>
      <c r="R37">
        <v>5</v>
      </c>
      <c r="S37">
        <v>37</v>
      </c>
      <c r="T37">
        <f t="shared" si="1"/>
        <v>0.95348837209302328</v>
      </c>
      <c r="U37">
        <f t="shared" si="0"/>
        <v>4.6511627906976716E-2</v>
      </c>
    </row>
    <row r="38" spans="1:21" x14ac:dyDescent="0.35">
      <c r="A38" t="s">
        <v>107</v>
      </c>
      <c r="B38" s="1">
        <v>45510</v>
      </c>
      <c r="C38" t="s">
        <v>60</v>
      </c>
      <c r="D38" s="1">
        <v>45533</v>
      </c>
      <c r="E38">
        <v>23</v>
      </c>
      <c r="F38" t="s">
        <v>54</v>
      </c>
      <c r="G38" t="s">
        <v>108</v>
      </c>
      <c r="I38" t="s">
        <v>109</v>
      </c>
      <c r="O38">
        <v>1</v>
      </c>
      <c r="P38">
        <v>2</v>
      </c>
      <c r="Q38">
        <v>1</v>
      </c>
      <c r="R38">
        <v>7</v>
      </c>
      <c r="S38">
        <v>141</v>
      </c>
      <c r="T38">
        <f t="shared" si="1"/>
        <v>0.96875</v>
      </c>
      <c r="U38">
        <f t="shared" si="0"/>
        <v>3.125E-2</v>
      </c>
    </row>
    <row r="39" spans="1:21" x14ac:dyDescent="0.35">
      <c r="A39" t="s">
        <v>107</v>
      </c>
      <c r="B39" s="1">
        <v>45510</v>
      </c>
      <c r="C39" t="s">
        <v>53</v>
      </c>
      <c r="D39" s="1">
        <v>45533</v>
      </c>
      <c r="E39">
        <v>23</v>
      </c>
      <c r="F39" t="s">
        <v>54</v>
      </c>
      <c r="G39" t="s">
        <v>110</v>
      </c>
      <c r="H39" t="s">
        <v>56</v>
      </c>
      <c r="I39" t="s">
        <v>111</v>
      </c>
      <c r="O39">
        <v>3</v>
      </c>
      <c r="P39">
        <v>3</v>
      </c>
      <c r="Q39">
        <v>0</v>
      </c>
      <c r="R39">
        <v>11</v>
      </c>
      <c r="S39">
        <v>141</v>
      </c>
      <c r="T39">
        <f t="shared" si="1"/>
        <v>0.94936708860759489</v>
      </c>
      <c r="U39">
        <f t="shared" si="0"/>
        <v>5.0632911392405111E-2</v>
      </c>
    </row>
    <row r="40" spans="1:21" x14ac:dyDescent="0.35">
      <c r="A40" t="s">
        <v>107</v>
      </c>
      <c r="B40" s="1">
        <v>45510</v>
      </c>
      <c r="C40" t="s">
        <v>53</v>
      </c>
      <c r="D40" s="1">
        <v>45540</v>
      </c>
      <c r="E40">
        <v>30</v>
      </c>
      <c r="F40" t="s">
        <v>54</v>
      </c>
      <c r="G40" t="s">
        <v>112</v>
      </c>
      <c r="H40" t="s">
        <v>56</v>
      </c>
      <c r="I40" t="s">
        <v>113</v>
      </c>
      <c r="O40">
        <v>0</v>
      </c>
      <c r="P40">
        <v>0</v>
      </c>
      <c r="Q40">
        <v>0</v>
      </c>
      <c r="R40">
        <v>5</v>
      </c>
      <c r="S40">
        <v>103</v>
      </c>
      <c r="T40">
        <f t="shared" si="1"/>
        <v>0.98842592592592593</v>
      </c>
      <c r="U40">
        <f t="shared" si="0"/>
        <v>1.157407407407407E-2</v>
      </c>
    </row>
    <row r="41" spans="1:21" x14ac:dyDescent="0.35">
      <c r="A41" t="s">
        <v>107</v>
      </c>
      <c r="B41" s="1">
        <v>45510</v>
      </c>
      <c r="C41" t="s">
        <v>60</v>
      </c>
      <c r="D41" s="1">
        <v>45540</v>
      </c>
      <c r="E41">
        <v>30</v>
      </c>
      <c r="F41" t="s">
        <v>54</v>
      </c>
      <c r="G41" t="s">
        <v>114</v>
      </c>
      <c r="I41" t="s">
        <v>115</v>
      </c>
      <c r="O41">
        <v>0</v>
      </c>
      <c r="P41">
        <v>0</v>
      </c>
      <c r="Q41">
        <v>0</v>
      </c>
      <c r="R41">
        <v>5</v>
      </c>
      <c r="S41">
        <v>78</v>
      </c>
      <c r="T41">
        <f t="shared" si="1"/>
        <v>0.98493975903614461</v>
      </c>
      <c r="U41">
        <f t="shared" si="0"/>
        <v>1.5060240963855387E-2</v>
      </c>
    </row>
    <row r="42" spans="1:21" x14ac:dyDescent="0.35">
      <c r="A42" t="s">
        <v>116</v>
      </c>
      <c r="B42" s="1">
        <v>45263</v>
      </c>
      <c r="C42" t="s">
        <v>22</v>
      </c>
      <c r="D42" s="1">
        <v>45344</v>
      </c>
      <c r="E42">
        <v>81</v>
      </c>
      <c r="F42" t="s">
        <v>117</v>
      </c>
      <c r="G42" t="s">
        <v>118</v>
      </c>
      <c r="H42" t="s">
        <v>119</v>
      </c>
      <c r="I42" t="s">
        <v>120</v>
      </c>
      <c r="O42">
        <v>1</v>
      </c>
      <c r="P42">
        <v>0</v>
      </c>
      <c r="Q42">
        <v>0</v>
      </c>
      <c r="R42">
        <v>21</v>
      </c>
      <c r="S42">
        <v>197</v>
      </c>
      <c r="T42">
        <f t="shared" si="1"/>
        <v>0.97146118721461183</v>
      </c>
      <c r="U42">
        <f t="shared" si="0"/>
        <v>2.8538812785388168E-2</v>
      </c>
    </row>
    <row r="43" spans="1:21" x14ac:dyDescent="0.35">
      <c r="A43" t="s">
        <v>116</v>
      </c>
      <c r="B43" s="1">
        <v>45263</v>
      </c>
      <c r="C43" t="s">
        <v>27</v>
      </c>
      <c r="D43" s="1">
        <v>45344</v>
      </c>
      <c r="E43">
        <v>81</v>
      </c>
      <c r="F43" t="s">
        <v>117</v>
      </c>
      <c r="G43" t="s">
        <v>121</v>
      </c>
      <c r="H43" t="s">
        <v>119</v>
      </c>
      <c r="I43" t="s">
        <v>122</v>
      </c>
      <c r="O43">
        <v>0</v>
      </c>
      <c r="P43">
        <v>0</v>
      </c>
      <c r="Q43">
        <v>0</v>
      </c>
      <c r="R43">
        <v>17</v>
      </c>
      <c r="S43">
        <v>213</v>
      </c>
      <c r="T43">
        <f t="shared" si="1"/>
        <v>0.98152173913043483</v>
      </c>
      <c r="U43">
        <f t="shared" si="0"/>
        <v>1.8478260869565166E-2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Luzhansky, Igor D.</cp:lastModifiedBy>
  <dcterms:created xsi:type="dcterms:W3CDTF">2026-04-20T18:51:35Z</dcterms:created>
  <dcterms:modified xsi:type="dcterms:W3CDTF">2026-04-20T19:09:02Z</dcterms:modified>
</cp:coreProperties>
</file>